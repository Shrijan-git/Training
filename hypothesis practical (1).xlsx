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boo\"/>
    </mc:Choice>
  </mc:AlternateContent>
  <bookViews>
    <workbookView xWindow="0" yWindow="0" windowWidth="15345" windowHeight="6375" activeTab="7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52511"/>
</workbook>
</file>

<file path=xl/calcChain.xml><?xml version="1.0" encoding="utf-8"?>
<calcChain xmlns="http://schemas.openxmlformats.org/spreadsheetml/2006/main">
  <c r="F51" i="1" l="1"/>
  <c r="E43" i="1"/>
  <c r="E42" i="1"/>
  <c r="E40" i="1"/>
  <c r="E39" i="1"/>
  <c r="E11" i="1"/>
  <c r="H34" i="1"/>
  <c r="F34" i="1"/>
  <c r="H33" i="1"/>
  <c r="F33" i="1"/>
  <c r="H32" i="1"/>
  <c r="F32" i="1"/>
  <c r="H31" i="1"/>
  <c r="F31" i="1"/>
  <c r="I12" i="6" l="1"/>
  <c r="I8" i="6"/>
  <c r="I14" i="6" l="1"/>
  <c r="I17" i="6" s="1"/>
  <c r="I13" i="6"/>
  <c r="I18" i="6" s="1"/>
  <c r="I11" i="6"/>
  <c r="I10" i="6"/>
  <c r="I9" i="6"/>
  <c r="I15" i="6" s="1"/>
  <c r="I16" i="6" l="1"/>
  <c r="I19" i="6"/>
  <c r="H12" i="4"/>
  <c r="H17" i="4" s="1"/>
  <c r="H11" i="4"/>
  <c r="H18" i="4" s="1"/>
  <c r="H10" i="4"/>
  <c r="H14" i="4" s="1"/>
  <c r="H9" i="4"/>
  <c r="H13" i="4"/>
  <c r="I29" i="3"/>
  <c r="I30" i="3" s="1"/>
  <c r="H16" i="4" l="1"/>
  <c r="H15" i="4"/>
  <c r="H21" i="4"/>
  <c r="H20" i="4"/>
  <c r="I21" i="6"/>
  <c r="I22" i="6"/>
  <c r="K7" i="3"/>
  <c r="K6" i="3"/>
  <c r="K5" i="3"/>
  <c r="I7" i="3"/>
  <c r="I6" i="3"/>
  <c r="I5" i="3"/>
  <c r="F24" i="2"/>
  <c r="E12" i="2"/>
  <c r="E13" i="2" s="1"/>
  <c r="E16" i="2" s="1"/>
  <c r="E14" i="2"/>
  <c r="E15" i="2" s="1"/>
  <c r="E13" i="1"/>
  <c r="F23" i="1" s="1"/>
  <c r="H6" i="1"/>
  <c r="E12" i="1" s="1"/>
  <c r="E15" i="1" s="1"/>
  <c r="H5" i="1"/>
  <c r="H4" i="1"/>
  <c r="H3" i="1"/>
  <c r="F5" i="1"/>
  <c r="F25" i="1" s="1"/>
  <c r="F4" i="1"/>
  <c r="F3" i="1"/>
  <c r="F6" i="1"/>
  <c r="I27" i="3" l="1"/>
  <c r="I28" i="3" s="1"/>
  <c r="I31" i="3" s="1"/>
  <c r="E14" i="1"/>
  <c r="F26" i="1"/>
  <c r="F27" i="2"/>
  <c r="F26" i="2"/>
</calcChain>
</file>

<file path=xl/sharedStrings.xml><?xml version="1.0" encoding="utf-8"?>
<sst xmlns="http://schemas.openxmlformats.org/spreadsheetml/2006/main" count="299" uniqueCount="170">
  <si>
    <t>sample size</t>
  </si>
  <si>
    <t>no. of males</t>
  </si>
  <si>
    <t>sample 1</t>
  </si>
  <si>
    <t>sample02</t>
  </si>
  <si>
    <t>proportion</t>
  </si>
  <si>
    <t>n1</t>
  </si>
  <si>
    <t>x1</t>
  </si>
  <si>
    <t>p1</t>
  </si>
  <si>
    <t>q1</t>
  </si>
  <si>
    <t>n2</t>
  </si>
  <si>
    <t>x2</t>
  </si>
  <si>
    <t>p2</t>
  </si>
  <si>
    <t>q2</t>
  </si>
  <si>
    <t>Test of proportion two samples</t>
  </si>
  <si>
    <t>H0:</t>
  </si>
  <si>
    <t>H1:</t>
  </si>
  <si>
    <t>p1=p2</t>
  </si>
  <si>
    <t>p1&lt;p2</t>
  </si>
  <si>
    <t>Value</t>
  </si>
  <si>
    <t>Formula</t>
  </si>
  <si>
    <t>S.E.</t>
  </si>
  <si>
    <t>Z cal</t>
  </si>
  <si>
    <t>alpha(α)</t>
  </si>
  <si>
    <t>Z tab</t>
  </si>
  <si>
    <t>p value</t>
  </si>
  <si>
    <t xml:space="preserve"> =SQRT((F5*F6/F3)+(H5*H6/H3))</t>
  </si>
  <si>
    <t xml:space="preserve"> =(F5-H5)/E11</t>
  </si>
  <si>
    <t xml:space="preserve"> =0.05</t>
  </si>
  <si>
    <t xml:space="preserve"> =NORMSINV(E13)</t>
  </si>
  <si>
    <t xml:space="preserve"> =NORMSDIST(E12)</t>
  </si>
  <si>
    <t>Decision:</t>
  </si>
  <si>
    <t>singnificant approach method</t>
  </si>
  <si>
    <t>H0 is accepted</t>
  </si>
  <si>
    <t>i.e., H1 is accepted</t>
  </si>
  <si>
    <t xml:space="preserve">Z cal &gt; Ztab , H0 is rejected, </t>
  </si>
  <si>
    <t>P value approach method</t>
  </si>
  <si>
    <t>it is insignificant</t>
  </si>
  <si>
    <r>
      <t xml:space="preserve">P value &lt; </t>
    </r>
    <r>
      <rPr>
        <sz val="11"/>
        <color theme="1"/>
        <rFont val="Calibri"/>
        <family val="2"/>
      </rPr>
      <t>α, it is significant</t>
    </r>
  </si>
  <si>
    <t>Z value</t>
  </si>
  <si>
    <t>Limit of difference of proportion</t>
  </si>
  <si>
    <t>Lower limit</t>
  </si>
  <si>
    <t>Upper limit</t>
  </si>
  <si>
    <t xml:space="preserve"> =(F5-H5)-F23*E11</t>
  </si>
  <si>
    <t xml:space="preserve"> =(F5-H5)+F23*E11</t>
  </si>
  <si>
    <t xml:space="preserve"> =NORMSINV(1-E13/2)</t>
  </si>
  <si>
    <t>Test of single mean (Z- test)</t>
  </si>
  <si>
    <t>population mean</t>
  </si>
  <si>
    <t>population standard deviation</t>
  </si>
  <si>
    <t>sample mean</t>
  </si>
  <si>
    <t>symbol</t>
  </si>
  <si>
    <t>μ</t>
  </si>
  <si>
    <t>σ</t>
  </si>
  <si>
    <t>n</t>
  </si>
  <si>
    <t>Ẋ</t>
  </si>
  <si>
    <t>value</t>
  </si>
  <si>
    <t>μ=50</t>
  </si>
  <si>
    <t>μ≠50</t>
  </si>
  <si>
    <t>formula</t>
  </si>
  <si>
    <t xml:space="preserve"> =F5/SQRT(F6)</t>
  </si>
  <si>
    <t>H0 is rejected,i.e.,H1 is accepted</t>
  </si>
  <si>
    <t xml:space="preserve"> =(F7-F4)/E12</t>
  </si>
  <si>
    <t>|Z|cal =2.552</t>
  </si>
  <si>
    <t xml:space="preserve"> =F7-F24*E12</t>
  </si>
  <si>
    <t xml:space="preserve"> =F7+F24*E12</t>
  </si>
  <si>
    <t xml:space="preserve"> =NORMSINV(1-E14/2)</t>
  </si>
  <si>
    <t>Test of difference of two sample mean</t>
  </si>
  <si>
    <t>Test whether two sample means are significantly different if they are selected prom population with standard deviation 840 and 920 respectively with following score values.</t>
  </si>
  <si>
    <t>X</t>
  </si>
  <si>
    <t>Y</t>
  </si>
  <si>
    <t>Sample size</t>
  </si>
  <si>
    <t>population variance</t>
  </si>
  <si>
    <t>m1</t>
  </si>
  <si>
    <t>m2</t>
  </si>
  <si>
    <r>
      <rPr>
        <sz val="11"/>
        <color theme="1"/>
        <rFont val="Calibri"/>
        <family val="2"/>
      </rPr>
      <t>σ</t>
    </r>
    <r>
      <rPr>
        <sz val="7.7"/>
        <color theme="1"/>
        <rFont val="Calibri"/>
        <family val="2"/>
      </rPr>
      <t>1^2</t>
    </r>
  </si>
  <si>
    <r>
      <rPr>
        <sz val="11"/>
        <color theme="1"/>
        <rFont val="Calibri"/>
        <family val="2"/>
      </rPr>
      <t>σ</t>
    </r>
    <r>
      <rPr>
        <sz val="7.7"/>
        <color theme="1"/>
        <rFont val="Calibri"/>
        <family val="2"/>
      </rPr>
      <t>2^2</t>
    </r>
  </si>
  <si>
    <t>z-Test: Two Sample for Means</t>
  </si>
  <si>
    <t>Mean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</si>
  <si>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</si>
  <si>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</si>
  <si>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</si>
  <si>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</si>
  <si>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</si>
  <si>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</si>
  <si>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</si>
  <si>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</si>
  <si>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μ1=μ2</t>
  </si>
  <si>
    <t>μ1≠μ2</t>
  </si>
  <si>
    <t xml:space="preserve">singnificant approach </t>
  </si>
  <si>
    <t>P value approach</t>
  </si>
  <si>
    <t xml:space="preserve"> =SQRT((I7/I5)+(K7/K5))</t>
  </si>
  <si>
    <t xml:space="preserve"> =(I6-K6)/I27</t>
  </si>
  <si>
    <t xml:space="preserve"> =NORMSINV(1-I29/2)</t>
  </si>
  <si>
    <t xml:space="preserve"> =2*(NORMSDIST(I28))</t>
  </si>
  <si>
    <t>Hypothesis test for single sample mean</t>
  </si>
  <si>
    <t>The time (in minutes) spant by randomly selected customers using internet in a cyber café is a follows; 35 ,20 ,30 ,45 ,60 ,40 ,65 ,40 ,25 ,50. Can you say that the average time spant by</t>
  </si>
  <si>
    <t>customers is more than 30 minutes at 5% level of significance?</t>
  </si>
  <si>
    <t>time in minutes</t>
  </si>
  <si>
    <t>test hypothesis</t>
  </si>
  <si>
    <t>null hypothesis</t>
  </si>
  <si>
    <t>alternative hypothesis</t>
  </si>
  <si>
    <t>sample st dev</t>
  </si>
  <si>
    <t>level of significance</t>
  </si>
  <si>
    <t>degrees of freedom</t>
  </si>
  <si>
    <t>tabulated t (two tailed)</t>
  </si>
  <si>
    <t>tabutated t (one tailed)</t>
  </si>
  <si>
    <t>standard error</t>
  </si>
  <si>
    <t>calculated t</t>
  </si>
  <si>
    <t>P-value</t>
  </si>
  <si>
    <t>s</t>
  </si>
  <si>
    <t>α</t>
  </si>
  <si>
    <t>df</t>
  </si>
  <si>
    <t>tα/2, n-1</t>
  </si>
  <si>
    <t>tα, n-1</t>
  </si>
  <si>
    <t>t cal</t>
  </si>
  <si>
    <t>p</t>
  </si>
  <si>
    <t>p RTT</t>
  </si>
  <si>
    <t xml:space="preserve"> =30</t>
  </si>
  <si>
    <t xml:space="preserve"> =COUNT(B6:B15)</t>
  </si>
  <si>
    <t xml:space="preserve"> =AVERAGE(B6:B15)</t>
  </si>
  <si>
    <t xml:space="preserve"> =STDEV.S(B6:B15)</t>
  </si>
  <si>
    <t xml:space="preserve"> =H10-1</t>
  </si>
  <si>
    <t xml:space="preserve"> =T.INV.2T(H13,H14)</t>
  </si>
  <si>
    <t xml:space="preserve"> =T.INV(1-H13,H14)</t>
  </si>
  <si>
    <t xml:space="preserve"> =H12/SQRT(H10)</t>
  </si>
  <si>
    <t xml:space="preserve"> =(H11-H9)/(H12/SQRT(H10))</t>
  </si>
  <si>
    <t xml:space="preserve"> =T.DIST.2T(H18,H14)</t>
  </si>
  <si>
    <t xml:space="preserve"> =T.DIST.RT(H18,H14)</t>
  </si>
  <si>
    <t>. ttest timeinminutes == 30</t>
  </si>
  <si>
    <t>One-sample t test</t>
  </si>
  <si>
    <t>------------------------------------------------------------------------------</t>
  </si>
  <si>
    <t>Variable |     Obs        Mean    Std. Err.   Std. Dev.   [95% Conf. Interval]</t>
  </si>
  <si>
    <t>---------+--------------------------------------------------------------------</t>
  </si>
  <si>
    <t>timein~s |      10          41    4.582576    14.49138    30.63349    51.36651</t>
  </si>
  <si>
    <t xml:space="preserve">    mean = mean(timeinminutes)                                    t =   2.4004</t>
  </si>
  <si>
    <t>Ho: mean = 30                                    degrees of freedom =        9</t>
  </si>
  <si>
    <t xml:space="preserve">    Ha: mean &lt; 30               Ha: mean != 30                 Ha: mean &gt; 30</t>
  </si>
  <si>
    <t xml:space="preserve"> Pr(T &lt; t) = 0.9801         Pr(|T| &gt; |t|) = 0.0399          Pr(T &gt; t) = 0.0199</t>
  </si>
  <si>
    <t>Stata use</t>
  </si>
  <si>
    <t>Two sample mean</t>
  </si>
  <si>
    <t>Manure I</t>
  </si>
  <si>
    <t>Manure II</t>
  </si>
  <si>
    <t>μ=30</t>
  </si>
  <si>
    <t>μ&gt;30</t>
  </si>
  <si>
    <t>μ1&gt;μ2</t>
  </si>
  <si>
    <t>VALUE</t>
  </si>
  <si>
    <t>FORMULA</t>
  </si>
  <si>
    <t>SYMBOL</t>
  </si>
  <si>
    <t>Ẋ1</t>
  </si>
  <si>
    <t>Ẋ2</t>
  </si>
  <si>
    <t>s1</t>
  </si>
  <si>
    <t>s2</t>
  </si>
  <si>
    <t xml:space="preserve"> =COUNT(B4:B12)</t>
  </si>
  <si>
    <t xml:space="preserve"> =STDEV.S(B4:B12)</t>
  </si>
  <si>
    <t xml:space="preserve"> =T.DIST.2T(I19,I15)</t>
  </si>
  <si>
    <t xml:space="preserve"> =SQRT(((I12^2)/I8)+((I13^2)/I9))</t>
  </si>
  <si>
    <t>type</t>
  </si>
  <si>
    <t>Manure 1</t>
  </si>
  <si>
    <t xml:space="preserve">Manure 2 </t>
  </si>
  <si>
    <t>Roll no.</t>
  </si>
  <si>
    <t>Before training</t>
  </si>
  <si>
    <t>After training</t>
  </si>
  <si>
    <t>H1;</t>
  </si>
  <si>
    <t>S.E</t>
  </si>
  <si>
    <t>=SQRT((F33*F34/F31)+(H34*H33/H1))</t>
  </si>
  <si>
    <t>=(F33-H33)/E39</t>
  </si>
  <si>
    <t>=0.05</t>
  </si>
  <si>
    <t>=NORMSINV(E41)</t>
  </si>
  <si>
    <t>=NORMSDIST(E40)</t>
  </si>
  <si>
    <t>=NORMSINV(1-E41/2)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</si>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</sst>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7.7"/>
      <color theme="1"/>
      <name val="Calibri"/>
      <family val="2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0" xfId="0" applyNumberFormat="1"/>
    <xf numFmtId="0" fontId="0" fillId="0" borderId="0" xfId="0" applyFill="1" applyBorder="1" applyAlignment="1"/>
    <xf numFmtId="0" fontId="0" fillId="0" borderId="7" xfId="0" applyFill="1" applyBorder="1" applyAlignment="1"/>
    <xf numFmtId="0" fontId="4" fillId="0" borderId="8" xfId="0" applyFont="1" applyFill="1" applyBorder="1" applyAlignment="1">
      <alignment horizontal="center"/>
    </xf>
    <xf numFmtId="0" fontId="0" fillId="2" borderId="0" xfId="0" applyFill="1"/>
    <xf numFmtId="0" fontId="2" fillId="2" borderId="0" xfId="0" applyFont="1" applyFill="1"/>
    <xf numFmtId="0" fontId="2" fillId="3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5" fillId="3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51"/>
  <sheetViews>
    <sheetView topLeftCell="B34" workbookViewId="0">
      <selection activeCell="G52" sqref="G52"/>
    </sheetView>
  </sheetViews>
  <sheetFormatPr defaultRowHeight="15" x14ac:dyDescent="0.25"/>
  <cols>
    <col min="2" max="2" width="7.85546875" customWidth="1"/>
    <col min="3" max="3" width="13.85546875" customWidth="1"/>
  </cols>
  <sheetData>
    <row r="1" spans="2:8" x14ac:dyDescent="0.25">
      <c r="B1" s="20"/>
      <c r="C1" s="21" t="s">
        <v>13</v>
      </c>
      <c r="D1" s="21"/>
      <c r="E1" s="4"/>
      <c r="F1" s="4"/>
      <c r="G1" s="4"/>
      <c r="H1" s="4"/>
    </row>
    <row r="2" spans="2:8" x14ac:dyDescent="0.25">
      <c r="C2" s="5"/>
      <c r="D2" s="5"/>
      <c r="E2" s="5" t="s">
        <v>2</v>
      </c>
      <c r="F2" s="5"/>
      <c r="G2" s="5" t="s">
        <v>3</v>
      </c>
      <c r="H2" s="5"/>
    </row>
    <row r="3" spans="2:8" x14ac:dyDescent="0.25">
      <c r="C3" s="5" t="s">
        <v>0</v>
      </c>
      <c r="D3" s="5"/>
      <c r="E3" s="5" t="s">
        <v>5</v>
      </c>
      <c r="F3" s="5">
        <f>50</f>
        <v>50</v>
      </c>
      <c r="G3" s="5" t="s">
        <v>9</v>
      </c>
      <c r="H3" s="5">
        <f>30</f>
        <v>30</v>
      </c>
    </row>
    <row r="4" spans="2:8" x14ac:dyDescent="0.25">
      <c r="C4" s="5" t="s">
        <v>1</v>
      </c>
      <c r="D4" s="5"/>
      <c r="E4" s="5" t="s">
        <v>6</v>
      </c>
      <c r="F4" s="5">
        <f>22</f>
        <v>22</v>
      </c>
      <c r="G4" s="5" t="s">
        <v>10</v>
      </c>
      <c r="H4" s="5">
        <f>15</f>
        <v>15</v>
      </c>
    </row>
    <row r="5" spans="2:8" x14ac:dyDescent="0.25">
      <c r="C5" s="5" t="s">
        <v>4</v>
      </c>
      <c r="D5" s="5"/>
      <c r="E5" s="5" t="s">
        <v>7</v>
      </c>
      <c r="F5" s="5">
        <f>0.44</f>
        <v>0.44</v>
      </c>
      <c r="G5" s="5" t="s">
        <v>11</v>
      </c>
      <c r="H5" s="5">
        <f>0.5</f>
        <v>0.5</v>
      </c>
    </row>
    <row r="6" spans="2:8" x14ac:dyDescent="0.25">
      <c r="C6" s="5"/>
      <c r="D6" s="5"/>
      <c r="E6" s="5" t="s">
        <v>8</v>
      </c>
      <c r="F6" s="5">
        <f>0.56</f>
        <v>0.56000000000000005</v>
      </c>
      <c r="G6" s="5" t="s">
        <v>12</v>
      </c>
      <c r="H6" s="5">
        <f>0.5</f>
        <v>0.5</v>
      </c>
    </row>
    <row r="8" spans="2:8" x14ac:dyDescent="0.25">
      <c r="C8" s="6" t="s">
        <v>14</v>
      </c>
      <c r="D8" t="s">
        <v>16</v>
      </c>
    </row>
    <row r="9" spans="2:8" x14ac:dyDescent="0.25">
      <c r="C9" s="6" t="s">
        <v>15</v>
      </c>
      <c r="D9" t="s">
        <v>17</v>
      </c>
    </row>
    <row r="10" spans="2:8" x14ac:dyDescent="0.25">
      <c r="E10" t="s">
        <v>18</v>
      </c>
      <c r="F10" t="s">
        <v>19</v>
      </c>
    </row>
    <row r="11" spans="2:8" x14ac:dyDescent="0.25">
      <c r="C11" t="s">
        <v>20</v>
      </c>
      <c r="E11">
        <f>SQRT((F5*F6/F3)+(H5*H6/H3))</f>
        <v>0.11515786266396807</v>
      </c>
      <c r="F11" t="s">
        <v>25</v>
      </c>
    </row>
    <row r="12" spans="2:8" x14ac:dyDescent="0.25">
      <c r="C12" t="s">
        <v>21</v>
      </c>
      <c r="E12">
        <f>(F5-H5)/E11</f>
        <v>-0.52102391110783863</v>
      </c>
      <c r="F12" t="s">
        <v>26</v>
      </c>
    </row>
    <row r="13" spans="2:8" x14ac:dyDescent="0.25">
      <c r="C13" s="7" t="s">
        <v>22</v>
      </c>
      <c r="E13">
        <f>0.05</f>
        <v>0.05</v>
      </c>
      <c r="F13" t="s">
        <v>27</v>
      </c>
    </row>
    <row r="14" spans="2:8" x14ac:dyDescent="0.25">
      <c r="C14" s="7" t="s">
        <v>23</v>
      </c>
      <c r="E14">
        <f>NORMSINV(E13)</f>
        <v>-1.6448536269514726</v>
      </c>
      <c r="F14" t="s">
        <v>28</v>
      </c>
    </row>
    <row r="15" spans="2:8" x14ac:dyDescent="0.25">
      <c r="C15" s="7" t="s">
        <v>24</v>
      </c>
      <c r="E15">
        <f>NORMSDIST(E12)</f>
        <v>0.30117505723055626</v>
      </c>
      <c r="F15" t="s">
        <v>29</v>
      </c>
    </row>
    <row r="17" spans="3:8" x14ac:dyDescent="0.25">
      <c r="C17" t="s">
        <v>30</v>
      </c>
    </row>
    <row r="18" spans="3:8" x14ac:dyDescent="0.25">
      <c r="C18" t="s">
        <v>31</v>
      </c>
      <c r="F18" t="s">
        <v>34</v>
      </c>
    </row>
    <row r="19" spans="3:8" x14ac:dyDescent="0.25">
      <c r="C19" t="s">
        <v>32</v>
      </c>
      <c r="F19" t="s">
        <v>33</v>
      </c>
    </row>
    <row r="21" spans="3:8" x14ac:dyDescent="0.25">
      <c r="C21" t="s">
        <v>35</v>
      </c>
    </row>
    <row r="22" spans="3:8" x14ac:dyDescent="0.25">
      <c r="C22" t="s">
        <v>36</v>
      </c>
      <c r="F22" t="s">
        <v>37</v>
      </c>
    </row>
    <row r="23" spans="3:8" x14ac:dyDescent="0.25">
      <c r="C23" t="s">
        <v>38</v>
      </c>
      <c r="F23">
        <f>NORMSINV(1-E13/2)</f>
        <v>1.9599639845400536</v>
      </c>
      <c r="G23" t="s">
        <v>44</v>
      </c>
    </row>
    <row r="24" spans="3:8" x14ac:dyDescent="0.25">
      <c r="C24" t="s">
        <v>39</v>
      </c>
    </row>
    <row r="25" spans="3:8" x14ac:dyDescent="0.25">
      <c r="C25" t="s">
        <v>40</v>
      </c>
      <c r="F25">
        <f>(F5-H5)-F23*E11</f>
        <v>-0.28570526335798713</v>
      </c>
      <c r="G25" t="s">
        <v>42</v>
      </c>
    </row>
    <row r="26" spans="3:8" x14ac:dyDescent="0.25">
      <c r="C26" t="s">
        <v>41</v>
      </c>
      <c r="F26">
        <f>(F5-H5)+F23*E11</f>
        <v>0.16570526335798713</v>
      </c>
      <c r="G26" t="s">
        <v>43</v>
      </c>
    </row>
    <row r="30" spans="3:8" x14ac:dyDescent="0.25">
      <c r="C30" s="5"/>
      <c r="D30" s="5"/>
      <c r="E30" s="5" t="s">
        <v>2</v>
      </c>
      <c r="F30" s="5"/>
      <c r="G30" s="5" t="s">
        <v>3</v>
      </c>
      <c r="H30" s="5"/>
    </row>
    <row r="31" spans="3:8" x14ac:dyDescent="0.25">
      <c r="C31" s="5" t="s">
        <v>0</v>
      </c>
      <c r="D31" s="5"/>
      <c r="E31" s="5" t="s">
        <v>5</v>
      </c>
      <c r="F31" s="5">
        <f>50</f>
        <v>50</v>
      </c>
      <c r="G31" s="5" t="s">
        <v>9</v>
      </c>
      <c r="H31" s="5">
        <f>30</f>
        <v>30</v>
      </c>
    </row>
    <row r="32" spans="3:8" x14ac:dyDescent="0.25">
      <c r="C32" s="5" t="s">
        <v>1</v>
      </c>
      <c r="D32" s="5"/>
      <c r="E32" s="5" t="s">
        <v>6</v>
      </c>
      <c r="F32" s="5">
        <f>22</f>
        <v>22</v>
      </c>
      <c r="G32" s="5" t="s">
        <v>10</v>
      </c>
      <c r="H32" s="5">
        <f>15</f>
        <v>15</v>
      </c>
    </row>
    <row r="33" spans="3:8" x14ac:dyDescent="0.25">
      <c r="C33" s="5" t="s">
        <v>4</v>
      </c>
      <c r="D33" s="5"/>
      <c r="E33" s="5" t="s">
        <v>7</v>
      </c>
      <c r="F33" s="5">
        <f>0.44</f>
        <v>0.44</v>
      </c>
      <c r="G33" s="5" t="s">
        <v>11</v>
      </c>
      <c r="H33" s="5">
        <f>0.5</f>
        <v>0.5</v>
      </c>
    </row>
    <row r="34" spans="3:8" x14ac:dyDescent="0.25">
      <c r="C34" s="5"/>
      <c r="D34" s="5"/>
      <c r="E34" s="5" t="s">
        <v>8</v>
      </c>
      <c r="F34" s="5">
        <f>0.56</f>
        <v>0.56000000000000005</v>
      </c>
      <c r="G34" s="5" t="s">
        <v>12</v>
      </c>
      <c r="H34" s="5">
        <f>0.5</f>
        <v>0.5</v>
      </c>
    </row>
    <row r="36" spans="3:8" x14ac:dyDescent="0.25">
      <c r="D36" t="s">
        <v>14</v>
      </c>
      <c r="E36" s="6" t="s">
        <v>16</v>
      </c>
    </row>
    <row r="37" spans="3:8" x14ac:dyDescent="0.25">
      <c r="D37" t="s">
        <v>161</v>
      </c>
      <c r="E37" s="6" t="s">
        <v>17</v>
      </c>
    </row>
    <row r="38" spans="3:8" x14ac:dyDescent="0.25">
      <c r="E38" s="6" t="s">
        <v>54</v>
      </c>
      <c r="F38" t="s">
        <v>57</v>
      </c>
    </row>
    <row r="39" spans="3:8" x14ac:dyDescent="0.25">
      <c r="C39" t="s">
        <v>162</v>
      </c>
      <c r="E39" s="6">
        <f>SQRT((F33*F34/F31)+(H34*H33/H31))</f>
        <v>0.11515786266396807</v>
      </c>
      <c r="F39" s="23" t="s">
        <v>163</v>
      </c>
    </row>
    <row r="40" spans="3:8" x14ac:dyDescent="0.25">
      <c r="C40" t="s">
        <v>21</v>
      </c>
      <c r="E40">
        <f>(F33-H33)/E39</f>
        <v>-0.52102391110783863</v>
      </c>
      <c r="F40" s="23" t="s">
        <v>164</v>
      </c>
    </row>
    <row r="41" spans="3:8" x14ac:dyDescent="0.25">
      <c r="C41" s="7" t="s">
        <v>22</v>
      </c>
      <c r="E41">
        <v>0.05</v>
      </c>
      <c r="F41" s="23" t="s">
        <v>165</v>
      </c>
    </row>
    <row r="42" spans="3:8" x14ac:dyDescent="0.25">
      <c r="C42" s="7" t="s">
        <v>23</v>
      </c>
      <c r="E42">
        <f>NORMSINV(E41)</f>
        <v>-1.6448536269514726</v>
      </c>
      <c r="F42" s="23" t="s">
        <v>166</v>
      </c>
    </row>
    <row r="43" spans="3:8" x14ac:dyDescent="0.25">
      <c r="C43" s="7" t="s">
        <v>24</v>
      </c>
      <c r="E43">
        <f>NORMSDIST(E40)</f>
        <v>0.30117505723055626</v>
      </c>
      <c r="F43" s="23" t="s">
        <v>167</v>
      </c>
    </row>
    <row r="45" spans="3:8" x14ac:dyDescent="0.25">
      <c r="C45" t="s">
        <v>30</v>
      </c>
    </row>
    <row r="46" spans="3:8" x14ac:dyDescent="0.25">
      <c r="C46" t="s">
        <v>31</v>
      </c>
      <c r="F46" t="s">
        <v>34</v>
      </c>
    </row>
    <row r="47" spans="3:8" x14ac:dyDescent="0.25">
      <c r="C47" t="s">
        <v>32</v>
      </c>
      <c r="F47" t="s">
        <v>33</v>
      </c>
    </row>
    <row r="49" spans="3:7" x14ac:dyDescent="0.25">
      <c r="C49" t="s">
        <v>35</v>
      </c>
    </row>
    <row r="50" spans="3:7" x14ac:dyDescent="0.25">
      <c r="C50" t="s">
        <v>36</v>
      </c>
      <c r="F50" t="s">
        <v>37</v>
      </c>
    </row>
    <row r="51" spans="3:7" x14ac:dyDescent="0.25">
      <c r="C51" t="s">
        <v>38</v>
      </c>
      <c r="F51">
        <f>NORMSINV(1-E41/2)</f>
        <v>1.9599639845400536</v>
      </c>
      <c r="G51" s="23" t="s">
        <v>168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7"/>
  <sheetViews>
    <sheetView workbookViewId="0">
      <selection activeCell="J9" sqref="J9"/>
    </sheetView>
  </sheetViews>
  <sheetFormatPr defaultRowHeight="15" x14ac:dyDescent="0.25"/>
  <cols>
    <col min="5" max="5" width="10.5703125" bestFit="1" customWidth="1"/>
  </cols>
  <sheetData>
    <row r="1" spans="2:8" ht="18.75" x14ac:dyDescent="0.3">
      <c r="B1" s="19" t="s">
        <v>45</v>
      </c>
      <c r="C1" s="19"/>
      <c r="D1" s="19"/>
    </row>
    <row r="3" spans="2:8" x14ac:dyDescent="0.25">
      <c r="B3" s="9"/>
      <c r="C3" s="10"/>
      <c r="D3" s="10"/>
      <c r="E3" s="3" t="s">
        <v>49</v>
      </c>
      <c r="F3" s="3" t="s">
        <v>54</v>
      </c>
    </row>
    <row r="4" spans="2:8" x14ac:dyDescent="0.25">
      <c r="B4" s="11" t="s">
        <v>46</v>
      </c>
      <c r="C4" s="1"/>
      <c r="D4" s="1"/>
      <c r="E4" s="8" t="s">
        <v>50</v>
      </c>
      <c r="F4" s="3">
        <v>50</v>
      </c>
    </row>
    <row r="5" spans="2:8" x14ac:dyDescent="0.25">
      <c r="B5" s="11" t="s">
        <v>47</v>
      </c>
      <c r="C5" s="1"/>
      <c r="D5" s="1"/>
      <c r="E5" s="8" t="s">
        <v>51</v>
      </c>
      <c r="F5" s="3">
        <v>12</v>
      </c>
    </row>
    <row r="6" spans="2:8" x14ac:dyDescent="0.25">
      <c r="B6" s="11" t="s">
        <v>0</v>
      </c>
      <c r="C6" s="1"/>
      <c r="D6" s="1"/>
      <c r="E6" s="8" t="s">
        <v>52</v>
      </c>
      <c r="F6" s="3">
        <v>150</v>
      </c>
    </row>
    <row r="7" spans="2:8" x14ac:dyDescent="0.25">
      <c r="B7" s="12" t="s">
        <v>48</v>
      </c>
      <c r="C7" s="2"/>
      <c r="D7" s="2"/>
      <c r="E7" s="8" t="s">
        <v>53</v>
      </c>
      <c r="F7" s="3">
        <v>47.5</v>
      </c>
    </row>
    <row r="10" spans="2:8" x14ac:dyDescent="0.25">
      <c r="B10" s="6" t="s">
        <v>14</v>
      </c>
      <c r="D10" s="7" t="s">
        <v>55</v>
      </c>
    </row>
    <row r="11" spans="2:8" x14ac:dyDescent="0.25">
      <c r="B11" s="6" t="s">
        <v>15</v>
      </c>
      <c r="D11" s="7" t="s">
        <v>56</v>
      </c>
      <c r="E11" t="s">
        <v>54</v>
      </c>
      <c r="F11" t="s">
        <v>57</v>
      </c>
    </row>
    <row r="12" spans="2:8" x14ac:dyDescent="0.25">
      <c r="B12" t="s">
        <v>20</v>
      </c>
      <c r="E12" s="13">
        <f>F5/SQRT(F6)</f>
        <v>0.97979589711327131</v>
      </c>
      <c r="F12" t="s">
        <v>58</v>
      </c>
    </row>
    <row r="13" spans="2:8" x14ac:dyDescent="0.25">
      <c r="B13" t="s">
        <v>21</v>
      </c>
      <c r="E13" s="13">
        <f>(F7-F4)/E12</f>
        <v>-2.5515518153991437</v>
      </c>
      <c r="F13" t="s">
        <v>60</v>
      </c>
      <c r="H13" t="s">
        <v>61</v>
      </c>
    </row>
    <row r="14" spans="2:8" x14ac:dyDescent="0.25">
      <c r="B14" s="7" t="s">
        <v>22</v>
      </c>
      <c r="E14">
        <f>0.05</f>
        <v>0.05</v>
      </c>
    </row>
    <row r="15" spans="2:8" x14ac:dyDescent="0.25">
      <c r="B15" s="7" t="s">
        <v>23</v>
      </c>
      <c r="E15" s="13">
        <f>NORMSINV(1-E14/2)</f>
        <v>1.9599639845400536</v>
      </c>
    </row>
    <row r="16" spans="2:8" x14ac:dyDescent="0.25">
      <c r="B16" s="7" t="s">
        <v>24</v>
      </c>
      <c r="E16" s="13">
        <f>2*(NORMSDIST(E13))</f>
        <v>1.0724437603060145E-2</v>
      </c>
    </row>
    <row r="18" spans="2:7" x14ac:dyDescent="0.25">
      <c r="B18" t="s">
        <v>30</v>
      </c>
    </row>
    <row r="19" spans="2:7" x14ac:dyDescent="0.25">
      <c r="B19" t="s">
        <v>31</v>
      </c>
      <c r="F19" t="s">
        <v>34</v>
      </c>
    </row>
    <row r="20" spans="2:7" x14ac:dyDescent="0.25">
      <c r="B20" t="s">
        <v>59</v>
      </c>
      <c r="F20" t="s">
        <v>33</v>
      </c>
    </row>
    <row r="22" spans="2:7" x14ac:dyDescent="0.25">
      <c r="B22" t="s">
        <v>35</v>
      </c>
    </row>
    <row r="23" spans="2:7" x14ac:dyDescent="0.25">
      <c r="B23" t="s">
        <v>36</v>
      </c>
      <c r="F23" t="s">
        <v>37</v>
      </c>
    </row>
    <row r="24" spans="2:7" x14ac:dyDescent="0.25">
      <c r="B24" t="s">
        <v>38</v>
      </c>
      <c r="F24" s="13">
        <f>NORMSINV(1-E14/2)</f>
        <v>1.9599639845400536</v>
      </c>
      <c r="G24" t="s">
        <v>64</v>
      </c>
    </row>
    <row r="25" spans="2:7" x14ac:dyDescent="0.25">
      <c r="B25" t="s">
        <v>39</v>
      </c>
    </row>
    <row r="26" spans="2:7" x14ac:dyDescent="0.25">
      <c r="B26" t="s">
        <v>40</v>
      </c>
      <c r="F26">
        <f>F7-F24*E12</f>
        <v>45.579635329457879</v>
      </c>
      <c r="G26" t="s">
        <v>62</v>
      </c>
    </row>
    <row r="27" spans="2:7" x14ac:dyDescent="0.25">
      <c r="B27" t="s">
        <v>41</v>
      </c>
      <c r="F27">
        <f>F7+F24*E12</f>
        <v>49.420364670542121</v>
      </c>
      <c r="G27" t="s">
        <v>63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9"/>
  <sheetViews>
    <sheetView zoomScale="85" zoomScaleNormal="85" workbookViewId="0">
      <selection activeCell="F24" sqref="F24:H26"/>
    </sheetView>
  </sheetViews>
  <sheetFormatPr defaultRowHeight="15" x14ac:dyDescent="0.25"/>
  <cols>
    <col min="8" max="8" width="9.140625" customWidth="1"/>
    <col min="12" max="12" width="28" customWidth="1"/>
  </cols>
  <sheetData>
    <row r="1" spans="2:14" ht="18.75" x14ac:dyDescent="0.3">
      <c r="B1" s="19" t="s">
        <v>65</v>
      </c>
      <c r="C1" s="20"/>
      <c r="D1" s="20"/>
      <c r="E1" s="20"/>
      <c r="F1" s="20"/>
    </row>
    <row r="2" spans="2:14" x14ac:dyDescent="0.25">
      <c r="B2" t="s">
        <v>66</v>
      </c>
    </row>
    <row r="3" spans="2:14" x14ac:dyDescent="0.25">
      <c r="B3" s="5" t="s">
        <v>67</v>
      </c>
      <c r="C3" s="5" t="s">
        <v>68</v>
      </c>
    </row>
    <row r="4" spans="2:14" x14ac:dyDescent="0.25">
      <c r="B4" s="5">
        <v>52</v>
      </c>
      <c r="C4" s="5">
        <v>22</v>
      </c>
      <c r="H4" t="s">
        <v>67</v>
      </c>
      <c r="J4" t="s">
        <v>68</v>
      </c>
    </row>
    <row r="5" spans="2:14" x14ac:dyDescent="0.25">
      <c r="B5" s="5">
        <v>27</v>
      </c>
      <c r="C5" s="5">
        <v>34</v>
      </c>
      <c r="E5" t="s">
        <v>69</v>
      </c>
      <c r="H5" t="s">
        <v>5</v>
      </c>
      <c r="I5">
        <f>30</f>
        <v>30</v>
      </c>
      <c r="J5" t="s">
        <v>9</v>
      </c>
      <c r="K5">
        <f>30</f>
        <v>30</v>
      </c>
    </row>
    <row r="6" spans="2:14" x14ac:dyDescent="0.25">
      <c r="B6" s="5">
        <v>2</v>
      </c>
      <c r="C6" s="5">
        <v>8</v>
      </c>
      <c r="E6" t="s">
        <v>48</v>
      </c>
      <c r="H6" t="s">
        <v>71</v>
      </c>
      <c r="I6">
        <f>AVERAGE(B3:B33)</f>
        <v>52.033333333333331</v>
      </c>
      <c r="J6" t="s">
        <v>72</v>
      </c>
      <c r="K6">
        <f>AVERAGE(C4:C33)</f>
        <v>72.900000000000006</v>
      </c>
    </row>
    <row r="7" spans="2:14" x14ac:dyDescent="0.25">
      <c r="B7" s="5">
        <v>49</v>
      </c>
      <c r="C7" s="5">
        <v>83</v>
      </c>
      <c r="E7" t="s">
        <v>70</v>
      </c>
      <c r="H7" s="7" t="s">
        <v>73</v>
      </c>
      <c r="I7">
        <f>840</f>
        <v>840</v>
      </c>
      <c r="J7" s="7" t="s">
        <v>74</v>
      </c>
      <c r="K7">
        <f>920</f>
        <v>920</v>
      </c>
    </row>
    <row r="8" spans="2:14" x14ac:dyDescent="0.25">
      <c r="B8" s="5">
        <v>76</v>
      </c>
      <c r="C8" s="5">
        <v>68</v>
      </c>
    </row>
    <row r="9" spans="2:14" x14ac:dyDescent="0.25">
      <c r="B9" s="5">
        <v>72</v>
      </c>
      <c r="C9" s="5">
        <v>64</v>
      </c>
      <c r="L9" t="s">
        <v>75</v>
      </c>
    </row>
    <row r="10" spans="2:14" ht="15.75" thickBot="1" x14ac:dyDescent="0.3">
      <c r="B10" s="5">
        <v>77</v>
      </c>
      <c r="C10" s="5">
        <v>115</v>
      </c>
    </row>
    <row r="11" spans="2:14" x14ac:dyDescent="0.25">
      <c r="B11" s="5">
        <v>71</v>
      </c>
      <c r="C11" s="5">
        <v>57</v>
      </c>
      <c r="L11" s="16"/>
      <c r="M11" s="16">
        <v>52</v>
      </c>
      <c r="N11" s="16">
        <v>22</v>
      </c>
    </row>
    <row r="12" spans="2:14" x14ac:dyDescent="0.25">
      <c r="B12" s="5">
        <v>95</v>
      </c>
      <c r="C12" s="5">
        <v>32</v>
      </c>
      <c r="L12" s="14" t="s">
        <v>76</v>
      </c>
      <c r="M12" s="14">
        <v>52.03448275862069</v>
      </c>
      <c r="N12" s="14">
        <v>74.65517241379311</v>
      </c>
    </row>
    <row r="13" spans="2:14" x14ac:dyDescent="0.25">
      <c r="B13" s="5">
        <v>55</v>
      </c>
      <c r="C13" s="5">
        <v>99</v>
      </c>
      <c r="L13" s="14" t="s">
        <v>77</v>
      </c>
      <c r="M13" s="14">
        <v>840</v>
      </c>
      <c r="N13" s="14">
        <v>920</v>
      </c>
    </row>
    <row r="14" spans="2:14" x14ac:dyDescent="0.25">
      <c r="B14" s="5">
        <v>68</v>
      </c>
      <c r="C14" s="5">
        <v>98</v>
      </c>
      <c r="L14" s="14" t="s">
        <v>78</v>
      </c>
      <c r="M14" s="14">
        <v>29</v>
      </c>
      <c r="N14" s="14">
        <v>29</v>
      </c>
    </row>
    <row r="15" spans="2:14" x14ac:dyDescent="0.25">
      <c r="B15" s="5">
        <v>29</v>
      </c>
      <c r="C15" s="5">
        <v>39</v>
      </c>
      <c r="L15" s="14" t="s">
        <v>79</v>
      </c>
      <c r="M15" s="14">
        <v>0</v>
      </c>
      <c r="N15" s="14"/>
    </row>
    <row r="16" spans="2:14" x14ac:dyDescent="0.25">
      <c r="B16" s="5">
        <v>97</v>
      </c>
      <c r="C16" s="5">
        <v>38</v>
      </c>
      <c r="L16" s="14" t="s">
        <v>80</v>
      </c>
      <c r="M16" s="14">
        <v>-2.9036783503656962</v>
      </c>
      <c r="N16" s="14"/>
    </row>
    <row r="17" spans="2:14" x14ac:dyDescent="0.25">
      <c r="B17" s="5">
        <v>17</v>
      </c>
      <c r="C17" s="5">
        <v>96</v>
      </c>
      <c r="L17" s="14" t="s">
        <v>81</v>
      </c>
      <c r="M17" s="14">
        <v>1.8440342174350643E-3</v>
      </c>
      <c r="N17" s="14"/>
    </row>
    <row r="18" spans="2:14" x14ac:dyDescent="0.25">
      <c r="B18" s="5">
        <v>98</v>
      </c>
      <c r="C18" s="5">
        <v>92</v>
      </c>
      <c r="L18" s="14" t="s">
        <v>82</v>
      </c>
      <c r="M18" s="14">
        <v>1.6448536269514715</v>
      </c>
      <c r="N18" s="14"/>
    </row>
    <row r="19" spans="2:14" x14ac:dyDescent="0.25">
      <c r="B19" s="5">
        <v>6</v>
      </c>
      <c r="C19" s="5">
        <v>14</v>
      </c>
      <c r="L19" s="14" t="s">
        <v>83</v>
      </c>
      <c r="M19" s="14">
        <v>3.6880684348701287E-3</v>
      </c>
      <c r="N19" s="14"/>
    </row>
    <row r="20" spans="2:14" ht="15.75" thickBot="1" x14ac:dyDescent="0.3">
      <c r="B20" s="5">
        <v>20</v>
      </c>
      <c r="C20" s="5">
        <v>1</v>
      </c>
      <c r="L20" s="15" t="s">
        <v>84</v>
      </c>
      <c r="M20" s="15">
        <v>1.9599639845400536</v>
      </c>
      <c r="N20" s="15"/>
    </row>
    <row r="21" spans="2:14" x14ac:dyDescent="0.25">
      <c r="B21" s="5">
        <v>16</v>
      </c>
      <c r="C21" s="5">
        <v>65</v>
      </c>
    </row>
    <row r="22" spans="2:14" x14ac:dyDescent="0.25">
      <c r="B22" s="5">
        <v>91</v>
      </c>
      <c r="C22" s="5">
        <v>95</v>
      </c>
    </row>
    <row r="23" spans="2:14" x14ac:dyDescent="0.25">
      <c r="B23" s="5">
        <v>88</v>
      </c>
      <c r="C23" s="5">
        <v>18</v>
      </c>
    </row>
    <row r="24" spans="2:14" x14ac:dyDescent="0.25">
      <c r="B24" s="5">
        <v>13</v>
      </c>
      <c r="C24" s="5">
        <v>27</v>
      </c>
    </row>
    <row r="25" spans="2:14" x14ac:dyDescent="0.25">
      <c r="B25" s="5">
        <v>5</v>
      </c>
      <c r="C25" s="5">
        <v>62</v>
      </c>
      <c r="F25" s="6" t="s">
        <v>14</v>
      </c>
      <c r="H25" s="7" t="s">
        <v>85</v>
      </c>
    </row>
    <row r="26" spans="2:14" x14ac:dyDescent="0.25">
      <c r="B26" s="5">
        <v>59</v>
      </c>
      <c r="C26" s="5">
        <v>75</v>
      </c>
      <c r="F26" s="6" t="s">
        <v>15</v>
      </c>
      <c r="H26" s="7" t="s">
        <v>86</v>
      </c>
      <c r="I26" t="s">
        <v>54</v>
      </c>
      <c r="J26" t="s">
        <v>57</v>
      </c>
    </row>
    <row r="27" spans="2:14" x14ac:dyDescent="0.25">
      <c r="B27" s="5">
        <v>69</v>
      </c>
      <c r="C27" s="5">
        <v>8</v>
      </c>
      <c r="F27" t="s">
        <v>20</v>
      </c>
      <c r="I27">
        <f>SQRT((I7/I5)+(K7/K5))</f>
        <v>7.6594168620507048</v>
      </c>
      <c r="J27" t="s">
        <v>89</v>
      </c>
    </row>
    <row r="28" spans="2:14" x14ac:dyDescent="0.25">
      <c r="B28" s="5">
        <v>19</v>
      </c>
      <c r="C28" s="5">
        <v>84</v>
      </c>
      <c r="F28" t="s">
        <v>21</v>
      </c>
      <c r="I28">
        <f>(I6-K6)/I27</f>
        <v>-2.7243153157066722</v>
      </c>
      <c r="J28" t="s">
        <v>90</v>
      </c>
    </row>
    <row r="29" spans="2:14" x14ac:dyDescent="0.25">
      <c r="B29" s="5">
        <v>73</v>
      </c>
      <c r="C29" s="5">
        <v>704</v>
      </c>
      <c r="F29" s="7" t="s">
        <v>22</v>
      </c>
      <c r="I29">
        <f>0.05</f>
        <v>0.05</v>
      </c>
    </row>
    <row r="30" spans="2:14" x14ac:dyDescent="0.25">
      <c r="B30" s="5">
        <v>39</v>
      </c>
      <c r="C30" s="5">
        <v>63</v>
      </c>
      <c r="F30" s="7" t="s">
        <v>23</v>
      </c>
      <c r="I30">
        <f>NORMSINV(1-I29/2)</f>
        <v>1.9599639845400536</v>
      </c>
      <c r="J30" t="s">
        <v>91</v>
      </c>
    </row>
    <row r="31" spans="2:14" x14ac:dyDescent="0.25">
      <c r="B31" s="5">
        <v>86</v>
      </c>
      <c r="C31" s="5">
        <v>9</v>
      </c>
      <c r="F31" s="7" t="s">
        <v>24</v>
      </c>
      <c r="I31">
        <f>2*(NORMSDIST(I28))</f>
        <v>6.44349564408952E-3</v>
      </c>
      <c r="J31" t="s">
        <v>92</v>
      </c>
    </row>
    <row r="32" spans="2:14" x14ac:dyDescent="0.25">
      <c r="B32" s="5">
        <v>7</v>
      </c>
      <c r="C32" s="5">
        <v>6</v>
      </c>
    </row>
    <row r="33" spans="2:10" x14ac:dyDescent="0.25">
      <c r="B33" s="5">
        <v>85</v>
      </c>
      <c r="C33" s="5">
        <v>11</v>
      </c>
      <c r="F33" t="s">
        <v>30</v>
      </c>
    </row>
    <row r="34" spans="2:10" x14ac:dyDescent="0.25">
      <c r="F34" t="s">
        <v>87</v>
      </c>
    </row>
    <row r="35" spans="2:10" x14ac:dyDescent="0.25">
      <c r="F35" t="s">
        <v>59</v>
      </c>
      <c r="J35" t="s">
        <v>34</v>
      </c>
    </row>
    <row r="36" spans="2:10" x14ac:dyDescent="0.25">
      <c r="J36" t="s">
        <v>33</v>
      </c>
    </row>
    <row r="37" spans="2:10" x14ac:dyDescent="0.25">
      <c r="F37" t="s">
        <v>88</v>
      </c>
    </row>
    <row r="38" spans="2:10" x14ac:dyDescent="0.25">
      <c r="F38" t="s">
        <v>36</v>
      </c>
    </row>
    <row r="39" spans="2:10" x14ac:dyDescent="0.25">
      <c r="J39" t="s">
        <v>37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3"/>
  <sheetViews>
    <sheetView topLeftCell="B1" workbookViewId="0">
      <selection activeCell="L14" sqref="L14"/>
    </sheetView>
  </sheetViews>
  <sheetFormatPr defaultRowHeight="15" x14ac:dyDescent="0.25"/>
  <sheetData>
    <row r="1" spans="2:16" ht="18.75" x14ac:dyDescent="0.3">
      <c r="B1" s="18" t="s">
        <v>93</v>
      </c>
      <c r="C1" s="17"/>
      <c r="D1" s="17"/>
      <c r="E1" s="17"/>
      <c r="F1" s="17"/>
    </row>
    <row r="2" spans="2:16" x14ac:dyDescent="0.25">
      <c r="B2" t="s">
        <v>94</v>
      </c>
    </row>
    <row r="3" spans="2:16" x14ac:dyDescent="0.25">
      <c r="B3" t="s">
        <v>95</v>
      </c>
    </row>
    <row r="5" spans="2:16" x14ac:dyDescent="0.25">
      <c r="B5" t="s">
        <v>96</v>
      </c>
      <c r="D5" t="s">
        <v>97</v>
      </c>
    </row>
    <row r="6" spans="2:16" x14ac:dyDescent="0.25">
      <c r="B6">
        <v>35</v>
      </c>
      <c r="D6" t="s">
        <v>98</v>
      </c>
      <c r="G6" s="6" t="s">
        <v>14</v>
      </c>
      <c r="I6" s="7" t="s">
        <v>141</v>
      </c>
    </row>
    <row r="7" spans="2:16" x14ac:dyDescent="0.25">
      <c r="B7">
        <v>20</v>
      </c>
      <c r="D7" t="s">
        <v>99</v>
      </c>
      <c r="G7" s="6" t="s">
        <v>15</v>
      </c>
      <c r="I7" s="7" t="s">
        <v>142</v>
      </c>
      <c r="N7" s="17"/>
      <c r="O7" s="17" t="s">
        <v>137</v>
      </c>
    </row>
    <row r="8" spans="2:16" x14ac:dyDescent="0.25">
      <c r="B8">
        <v>30</v>
      </c>
      <c r="H8" t="s">
        <v>144</v>
      </c>
      <c r="I8" t="s">
        <v>145</v>
      </c>
    </row>
    <row r="9" spans="2:16" x14ac:dyDescent="0.25">
      <c r="B9">
        <v>45</v>
      </c>
      <c r="D9" t="s">
        <v>46</v>
      </c>
      <c r="G9" s="7" t="s">
        <v>50</v>
      </c>
      <c r="H9">
        <f>30</f>
        <v>30</v>
      </c>
      <c r="I9" t="s">
        <v>116</v>
      </c>
    </row>
    <row r="10" spans="2:16" x14ac:dyDescent="0.25">
      <c r="B10">
        <v>60</v>
      </c>
      <c r="D10" t="s">
        <v>0</v>
      </c>
      <c r="G10" t="s">
        <v>52</v>
      </c>
      <c r="H10">
        <f>COUNT(B6:B15)</f>
        <v>10</v>
      </c>
      <c r="I10" t="s">
        <v>117</v>
      </c>
      <c r="P10" t="s">
        <v>127</v>
      </c>
    </row>
    <row r="11" spans="2:16" x14ac:dyDescent="0.25">
      <c r="B11">
        <v>40</v>
      </c>
      <c r="D11" t="s">
        <v>48</v>
      </c>
      <c r="G11" s="7" t="s">
        <v>53</v>
      </c>
      <c r="H11">
        <f>AVERAGE(B6:B15)</f>
        <v>41</v>
      </c>
      <c r="I11" t="s">
        <v>118</v>
      </c>
    </row>
    <row r="12" spans="2:16" x14ac:dyDescent="0.25">
      <c r="B12">
        <v>65</v>
      </c>
      <c r="D12" t="s">
        <v>100</v>
      </c>
      <c r="G12" s="7" t="s">
        <v>108</v>
      </c>
      <c r="H12">
        <f>_xlfn.STDEV.S(B6:B15)</f>
        <v>14.491376746189438</v>
      </c>
      <c r="I12" t="s">
        <v>119</v>
      </c>
      <c r="P12" t="s">
        <v>128</v>
      </c>
    </row>
    <row r="13" spans="2:16" x14ac:dyDescent="0.25">
      <c r="B13">
        <v>40</v>
      </c>
      <c r="D13" t="s">
        <v>101</v>
      </c>
      <c r="G13" s="7" t="s">
        <v>109</v>
      </c>
      <c r="H13">
        <f>0.05</f>
        <v>0.05</v>
      </c>
      <c r="P13" t="s">
        <v>129</v>
      </c>
    </row>
    <row r="14" spans="2:16" x14ac:dyDescent="0.25">
      <c r="B14">
        <v>25</v>
      </c>
      <c r="D14" t="s">
        <v>102</v>
      </c>
      <c r="G14" s="7" t="s">
        <v>110</v>
      </c>
      <c r="H14">
        <f>H10-1</f>
        <v>9</v>
      </c>
      <c r="I14" t="s">
        <v>120</v>
      </c>
      <c r="P14" t="s">
        <v>130</v>
      </c>
    </row>
    <row r="15" spans="2:16" x14ac:dyDescent="0.25">
      <c r="B15">
        <v>50</v>
      </c>
      <c r="D15" t="s">
        <v>103</v>
      </c>
      <c r="G15" s="7" t="s">
        <v>111</v>
      </c>
      <c r="H15">
        <f>_xlfn.T.INV.2T(H13,H14)</f>
        <v>2.2621571627982053</v>
      </c>
      <c r="I15" t="s">
        <v>121</v>
      </c>
      <c r="P15" t="s">
        <v>131</v>
      </c>
    </row>
    <row r="16" spans="2:16" x14ac:dyDescent="0.25">
      <c r="D16" t="s">
        <v>104</v>
      </c>
      <c r="G16" s="7" t="s">
        <v>112</v>
      </c>
      <c r="H16">
        <f>_xlfn.T.INV(1-H13,H14)</f>
        <v>1.8331129326562368</v>
      </c>
      <c r="I16" t="s">
        <v>122</v>
      </c>
      <c r="P16" t="s">
        <v>132</v>
      </c>
    </row>
    <row r="17" spans="4:16" x14ac:dyDescent="0.25">
      <c r="D17" t="s">
        <v>105</v>
      </c>
      <c r="G17" s="7" t="s">
        <v>20</v>
      </c>
      <c r="H17">
        <f>H12/SQRT(H10)</f>
        <v>4.5825756949558398</v>
      </c>
      <c r="I17" t="s">
        <v>123</v>
      </c>
      <c r="P17" t="s">
        <v>129</v>
      </c>
    </row>
    <row r="18" spans="4:16" x14ac:dyDescent="0.25">
      <c r="D18" t="s">
        <v>106</v>
      </c>
      <c r="G18" s="7" t="s">
        <v>113</v>
      </c>
      <c r="H18">
        <f>(H11-H9)/(H12/SQRT(H10))</f>
        <v>2.4003967925959162</v>
      </c>
      <c r="I18" t="s">
        <v>124</v>
      </c>
      <c r="P18" t="s">
        <v>133</v>
      </c>
    </row>
    <row r="19" spans="4:16" x14ac:dyDescent="0.25">
      <c r="P19" t="s">
        <v>134</v>
      </c>
    </row>
    <row r="20" spans="4:16" x14ac:dyDescent="0.25">
      <c r="D20" t="s">
        <v>107</v>
      </c>
      <c r="G20" t="s">
        <v>114</v>
      </c>
      <c r="H20">
        <f>_xlfn.T.DIST.2T(H18,H14)</f>
        <v>3.9871938601947585E-2</v>
      </c>
      <c r="I20" t="s">
        <v>125</v>
      </c>
    </row>
    <row r="21" spans="4:16" x14ac:dyDescent="0.25">
      <c r="G21" t="s">
        <v>115</v>
      </c>
      <c r="H21">
        <f>_xlfn.T.DIST.RT(H18,H14)</f>
        <v>1.9935969300973792E-2</v>
      </c>
      <c r="I21" t="s">
        <v>126</v>
      </c>
      <c r="P21" t="s">
        <v>135</v>
      </c>
    </row>
    <row r="22" spans="4:16" x14ac:dyDescent="0.25">
      <c r="P22" t="s">
        <v>136</v>
      </c>
    </row>
    <row r="23" spans="4:16" x14ac:dyDescent="0.25">
      <c r="D23" t="s">
        <v>30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N16" sqref="N16"/>
    </sheetView>
  </sheetViews>
  <sheetFormatPr defaultRowHeight="15" x14ac:dyDescent="0.25"/>
  <sheetData>
    <row r="1" spans="1:1" x14ac:dyDescent="0.25">
      <c r="A1" t="s">
        <v>96</v>
      </c>
    </row>
    <row r="2" spans="1:1" x14ac:dyDescent="0.25">
      <c r="A2">
        <v>35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45</v>
      </c>
    </row>
    <row r="6" spans="1:1" x14ac:dyDescent="0.25">
      <c r="A6">
        <v>60</v>
      </c>
    </row>
    <row r="7" spans="1:1" x14ac:dyDescent="0.25">
      <c r="A7">
        <v>40</v>
      </c>
    </row>
    <row r="8" spans="1:1" x14ac:dyDescent="0.25">
      <c r="A8">
        <v>65</v>
      </c>
    </row>
    <row r="9" spans="1:1" x14ac:dyDescent="0.25">
      <c r="A9">
        <v>40</v>
      </c>
    </row>
    <row r="10" spans="1:1" x14ac:dyDescent="0.25">
      <c r="A10">
        <v>25</v>
      </c>
    </row>
    <row r="11" spans="1:1" x14ac:dyDescent="0.25">
      <c r="A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activeCell="B3" sqref="B3:C12"/>
    </sheetView>
  </sheetViews>
  <sheetFormatPr defaultRowHeight="15" x14ac:dyDescent="0.25"/>
  <sheetData>
    <row r="1" spans="1:10" ht="21" x14ac:dyDescent="0.35">
      <c r="A1" s="20"/>
      <c r="B1" s="22" t="s">
        <v>138</v>
      </c>
      <c r="C1" s="20"/>
      <c r="D1" s="20"/>
    </row>
    <row r="3" spans="1:10" x14ac:dyDescent="0.25">
      <c r="B3" t="s">
        <v>139</v>
      </c>
      <c r="C3" t="s">
        <v>140</v>
      </c>
      <c r="E3" t="s">
        <v>97</v>
      </c>
    </row>
    <row r="4" spans="1:10" x14ac:dyDescent="0.25">
      <c r="B4">
        <v>18</v>
      </c>
      <c r="C4">
        <v>29</v>
      </c>
      <c r="E4" t="s">
        <v>98</v>
      </c>
      <c r="H4" s="6" t="s">
        <v>14</v>
      </c>
      <c r="J4" s="7" t="s">
        <v>85</v>
      </c>
    </row>
    <row r="5" spans="1:10" x14ac:dyDescent="0.25">
      <c r="B5">
        <v>20</v>
      </c>
      <c r="C5">
        <v>28</v>
      </c>
      <c r="E5" t="s">
        <v>99</v>
      </c>
      <c r="H5" s="6" t="s">
        <v>15</v>
      </c>
      <c r="J5" s="7" t="s">
        <v>143</v>
      </c>
    </row>
    <row r="6" spans="1:10" x14ac:dyDescent="0.25">
      <c r="B6">
        <v>36</v>
      </c>
      <c r="C6">
        <v>26</v>
      </c>
      <c r="H6" t="s">
        <v>146</v>
      </c>
      <c r="I6" t="s">
        <v>144</v>
      </c>
      <c r="J6" t="s">
        <v>145</v>
      </c>
    </row>
    <row r="7" spans="1:10" x14ac:dyDescent="0.25">
      <c r="B7">
        <v>50</v>
      </c>
      <c r="C7">
        <v>35</v>
      </c>
      <c r="H7" s="7"/>
    </row>
    <row r="8" spans="1:10" x14ac:dyDescent="0.25">
      <c r="B8">
        <v>49</v>
      </c>
      <c r="C8">
        <v>30</v>
      </c>
      <c r="E8" t="s">
        <v>0</v>
      </c>
      <c r="H8" t="s">
        <v>5</v>
      </c>
      <c r="I8">
        <f>COUNT(B4:B12)</f>
        <v>9</v>
      </c>
      <c r="J8" t="s">
        <v>151</v>
      </c>
    </row>
    <row r="9" spans="1:10" x14ac:dyDescent="0.25">
      <c r="B9">
        <v>36</v>
      </c>
      <c r="C9">
        <v>44</v>
      </c>
      <c r="H9" t="s">
        <v>9</v>
      </c>
      <c r="I9">
        <f>COUNT(C4:C10)</f>
        <v>7</v>
      </c>
    </row>
    <row r="10" spans="1:10" x14ac:dyDescent="0.25">
      <c r="B10">
        <v>34</v>
      </c>
      <c r="C10">
        <v>46</v>
      </c>
      <c r="E10" t="s">
        <v>48</v>
      </c>
      <c r="H10" s="7" t="s">
        <v>147</v>
      </c>
      <c r="I10">
        <f>AVERAGE(B4:B12)</f>
        <v>37</v>
      </c>
    </row>
    <row r="11" spans="1:10" x14ac:dyDescent="0.25">
      <c r="B11">
        <v>49</v>
      </c>
      <c r="H11" s="7" t="s">
        <v>148</v>
      </c>
      <c r="I11">
        <f>AVERAGE(C4:C10)</f>
        <v>34</v>
      </c>
    </row>
    <row r="12" spans="1:10" x14ac:dyDescent="0.25">
      <c r="B12">
        <v>41</v>
      </c>
      <c r="E12" t="s">
        <v>100</v>
      </c>
      <c r="H12" s="7" t="s">
        <v>149</v>
      </c>
      <c r="I12">
        <f>_xlfn.STDEV.S(B4:B12)</f>
        <v>11.905880899790658</v>
      </c>
      <c r="J12" t="s">
        <v>152</v>
      </c>
    </row>
    <row r="13" spans="1:10" x14ac:dyDescent="0.25">
      <c r="H13" s="7" t="s">
        <v>150</v>
      </c>
      <c r="I13">
        <f>_xlfn.STDEV.S(C4:C10)</f>
        <v>8.0208062770106423</v>
      </c>
    </row>
    <row r="14" spans="1:10" x14ac:dyDescent="0.25">
      <c r="E14" t="s">
        <v>101</v>
      </c>
      <c r="H14" s="7" t="s">
        <v>109</v>
      </c>
      <c r="I14">
        <f>0.05</f>
        <v>0.05</v>
      </c>
    </row>
    <row r="15" spans="1:10" x14ac:dyDescent="0.25">
      <c r="E15" t="s">
        <v>102</v>
      </c>
      <c r="H15" s="7" t="s">
        <v>110</v>
      </c>
      <c r="I15">
        <f>I8+I9-2</f>
        <v>14</v>
      </c>
    </row>
    <row r="16" spans="1:10" x14ac:dyDescent="0.25">
      <c r="E16" t="s">
        <v>103</v>
      </c>
      <c r="H16" s="7" t="s">
        <v>111</v>
      </c>
      <c r="I16">
        <f>_xlfn.T.INV.2T(I14,I15)</f>
        <v>2.1447866879178044</v>
      </c>
    </row>
    <row r="17" spans="5:10" x14ac:dyDescent="0.25">
      <c r="E17" t="s">
        <v>104</v>
      </c>
      <c r="H17" s="7" t="s">
        <v>112</v>
      </c>
      <c r="I17">
        <f>_xlfn.T.INV(1-I14,I15)</f>
        <v>1.7613101357748921</v>
      </c>
    </row>
    <row r="18" spans="5:10" x14ac:dyDescent="0.25">
      <c r="E18" t="s">
        <v>105</v>
      </c>
      <c r="H18" s="7" t="s">
        <v>20</v>
      </c>
      <c r="I18">
        <f>SQRT(((I12^2)/I8)+((I13^2)/I9))</f>
        <v>4.9940440717394745</v>
      </c>
      <c r="J18" t="s">
        <v>154</v>
      </c>
    </row>
    <row r="19" spans="5:10" x14ac:dyDescent="0.25">
      <c r="E19" t="s">
        <v>106</v>
      </c>
      <c r="H19" s="7" t="s">
        <v>113</v>
      </c>
      <c r="I19">
        <f>(I10-I11)/I18</f>
        <v>0.6007155637605478</v>
      </c>
    </row>
    <row r="21" spans="5:10" x14ac:dyDescent="0.25">
      <c r="E21" t="s">
        <v>107</v>
      </c>
      <c r="H21" t="s">
        <v>114</v>
      </c>
      <c r="I21">
        <f>_xlfn.T.DIST.2T(I19,I15)</f>
        <v>0.55763009093460325</v>
      </c>
      <c r="J21" t="s">
        <v>153</v>
      </c>
    </row>
    <row r="22" spans="5:10" x14ac:dyDescent="0.25">
      <c r="H22" t="s">
        <v>115</v>
      </c>
      <c r="I22">
        <f>_xlfn.T.DIST.RT(I19,I15)</f>
        <v>0.27881504546730163</v>
      </c>
    </row>
    <row r="24" spans="5:10" x14ac:dyDescent="0.25">
      <c r="E24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H11" sqref="H11"/>
    </sheetView>
  </sheetViews>
  <sheetFormatPr defaultRowHeight="15" x14ac:dyDescent="0.25"/>
  <sheetData>
    <row r="1" spans="1:2" x14ac:dyDescent="0.25">
      <c r="A1" t="s">
        <v>54</v>
      </c>
      <c r="B1" t="s">
        <v>155</v>
      </c>
    </row>
    <row r="2" spans="1:2" x14ac:dyDescent="0.25">
      <c r="A2">
        <v>18</v>
      </c>
      <c r="B2" t="s">
        <v>156</v>
      </c>
    </row>
    <row r="3" spans="1:2" x14ac:dyDescent="0.25">
      <c r="A3">
        <v>20</v>
      </c>
      <c r="B3" t="s">
        <v>156</v>
      </c>
    </row>
    <row r="4" spans="1:2" x14ac:dyDescent="0.25">
      <c r="A4">
        <v>36</v>
      </c>
      <c r="B4" t="s">
        <v>156</v>
      </c>
    </row>
    <row r="5" spans="1:2" x14ac:dyDescent="0.25">
      <c r="A5">
        <v>50</v>
      </c>
      <c r="B5" t="s">
        <v>156</v>
      </c>
    </row>
    <row r="6" spans="1:2" x14ac:dyDescent="0.25">
      <c r="A6">
        <v>49</v>
      </c>
      <c r="B6" t="s">
        <v>156</v>
      </c>
    </row>
    <row r="7" spans="1:2" x14ac:dyDescent="0.25">
      <c r="A7">
        <v>36</v>
      </c>
      <c r="B7" t="s">
        <v>156</v>
      </c>
    </row>
    <row r="8" spans="1:2" x14ac:dyDescent="0.25">
      <c r="A8">
        <v>34</v>
      </c>
      <c r="B8" t="s">
        <v>156</v>
      </c>
    </row>
    <row r="9" spans="1:2" x14ac:dyDescent="0.25">
      <c r="A9">
        <v>49</v>
      </c>
      <c r="B9" t="s">
        <v>156</v>
      </c>
    </row>
    <row r="10" spans="1:2" x14ac:dyDescent="0.25">
      <c r="A10">
        <v>41</v>
      </c>
      <c r="B10" t="s">
        <v>156</v>
      </c>
    </row>
    <row r="11" spans="1:2" x14ac:dyDescent="0.25">
      <c r="A11">
        <v>29</v>
      </c>
      <c r="B11" t="s">
        <v>157</v>
      </c>
    </row>
    <row r="12" spans="1:2" x14ac:dyDescent="0.25">
      <c r="A12">
        <v>28</v>
      </c>
      <c r="B12" t="s">
        <v>157</v>
      </c>
    </row>
    <row r="13" spans="1:2" x14ac:dyDescent="0.25">
      <c r="A13">
        <v>26</v>
      </c>
      <c r="B13" t="s">
        <v>157</v>
      </c>
    </row>
    <row r="14" spans="1:2" x14ac:dyDescent="0.25">
      <c r="A14">
        <v>35</v>
      </c>
      <c r="B14" t="s">
        <v>157</v>
      </c>
    </row>
    <row r="15" spans="1:2" x14ac:dyDescent="0.25">
      <c r="A15">
        <v>30</v>
      </c>
      <c r="B15" t="s">
        <v>157</v>
      </c>
    </row>
    <row r="16" spans="1:2" x14ac:dyDescent="0.25">
      <c r="A16">
        <v>44</v>
      </c>
      <c r="B16" t="s">
        <v>157</v>
      </c>
    </row>
    <row r="17" spans="1:2" x14ac:dyDescent="0.25">
      <c r="A17">
        <v>46</v>
      </c>
      <c r="B17" t="s">
        <v>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F9" sqref="F9"/>
    </sheetView>
  </sheetViews>
  <sheetFormatPr defaultRowHeight="15" x14ac:dyDescent="0.25"/>
  <cols>
    <col min="2" max="2" width="14.85546875" customWidth="1"/>
    <col min="3" max="3" width="13" customWidth="1"/>
  </cols>
  <sheetData>
    <row r="1" spans="1:6" x14ac:dyDescent="0.25">
      <c r="A1" t="s">
        <v>158</v>
      </c>
      <c r="B1" t="s">
        <v>159</v>
      </c>
      <c r="C1" t="s">
        <v>160</v>
      </c>
      <c r="D1" t="s">
        <v>169</v>
      </c>
    </row>
    <row r="2" spans="1:6" x14ac:dyDescent="0.25">
      <c r="A2">
        <v>1</v>
      </c>
      <c r="B2">
        <v>12</v>
      </c>
      <c r="C2">
        <v>15</v>
      </c>
      <c r="D2">
        <v>-3</v>
      </c>
    </row>
    <row r="3" spans="1:6" x14ac:dyDescent="0.25">
      <c r="A3">
        <v>2</v>
      </c>
      <c r="B3">
        <v>14</v>
      </c>
      <c r="C3">
        <v>16</v>
      </c>
      <c r="D3">
        <v>-2</v>
      </c>
    </row>
    <row r="4" spans="1:6" x14ac:dyDescent="0.25">
      <c r="A4">
        <v>3</v>
      </c>
      <c r="B4">
        <v>11</v>
      </c>
      <c r="C4">
        <v>10</v>
      </c>
      <c r="D4">
        <v>1</v>
      </c>
    </row>
    <row r="5" spans="1:6" x14ac:dyDescent="0.25">
      <c r="A5">
        <v>4</v>
      </c>
      <c r="B5">
        <v>8</v>
      </c>
      <c r="C5">
        <v>7</v>
      </c>
      <c r="D5">
        <v>1</v>
      </c>
      <c r="F5" t="s">
        <v>97</v>
      </c>
    </row>
    <row r="6" spans="1:6" x14ac:dyDescent="0.25">
      <c r="A6">
        <v>5</v>
      </c>
      <c r="B6">
        <v>7</v>
      </c>
      <c r="C6">
        <v>5</v>
      </c>
      <c r="D6">
        <v>2</v>
      </c>
      <c r="F6" t="s">
        <v>98</v>
      </c>
    </row>
    <row r="7" spans="1:6" x14ac:dyDescent="0.25">
      <c r="A7">
        <v>6</v>
      </c>
      <c r="B7">
        <v>10</v>
      </c>
      <c r="C7">
        <v>12</v>
      </c>
      <c r="D7">
        <v>-2</v>
      </c>
    </row>
    <row r="8" spans="1:6" x14ac:dyDescent="0.25">
      <c r="A8">
        <v>7</v>
      </c>
      <c r="B8">
        <v>3</v>
      </c>
      <c r="C8">
        <v>10</v>
      </c>
      <c r="D8">
        <v>-7</v>
      </c>
    </row>
    <row r="9" spans="1:6" x14ac:dyDescent="0.25">
      <c r="A9">
        <v>8</v>
      </c>
      <c r="B9">
        <v>0</v>
      </c>
      <c r="C9">
        <v>2</v>
      </c>
      <c r="D9">
        <v>-2</v>
      </c>
    </row>
    <row r="10" spans="1:6" x14ac:dyDescent="0.25">
      <c r="A10">
        <v>9</v>
      </c>
      <c r="B10">
        <v>5</v>
      </c>
      <c r="C10">
        <v>3</v>
      </c>
      <c r="D10">
        <v>2</v>
      </c>
    </row>
    <row r="11" spans="1:6" x14ac:dyDescent="0.25">
      <c r="A11">
        <v>10</v>
      </c>
      <c r="B11">
        <v>6</v>
      </c>
      <c r="C11">
        <v>8</v>
      </c>
      <c r="D11">
        <v>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dcterms:created xsi:type="dcterms:W3CDTF">2025-12-13T04:26:19Z</dcterms:created>
  <dcterms:modified xsi:type="dcterms:W3CDTF">2025-12-22T10:08:15Z</dcterms:modified>
</cp:coreProperties>
</file>